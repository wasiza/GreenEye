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Feed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<sst xmlns="http://schemas.openxmlformats.org/spreadsheetml/2006/main" count="89" uniqueCount="59">
  <si>
    <t xml:space="preserve">HYDROPONIC MASTER FEED CHART — A/B Individual-Salt Standard</t>
  </si>
  <si>
    <t xml:space="preserve">Professional individual-salt formula · Part A = Calcium tank · Part B = Sulfate/Phosphate/Micro tank · Hoagland-based, crop-tuned</t>
  </si>
  <si>
    <t xml:space="preserve">TANK VOLUME (Liters)</t>
  </si>
  <si>
    <t xml:space="preserve">← change ONLY this; every weight recalculates</t>
  </si>
  <si>
    <t xml:space="preserve">HOW TO FOLLOW:  pick your crop column → weigh PART B salts into the tank first (order 1-4), then PART A (order 5-7) → check EC, set pH last.</t>
  </si>
  <si>
    <t xml:space="preserve">  TARGETS</t>
  </si>
  <si>
    <t xml:space="preserve">Target</t>
  </si>
  <si>
    <t xml:space="preserve">Mixing order</t>
  </si>
  <si>
    <t xml:space="preserve">Seedlings</t>
  </si>
  <si>
    <t xml:space="preserve">Leafy Greens</t>
  </si>
  <si>
    <t xml:space="preserve">Herbs / Veg</t>
  </si>
  <si>
    <t xml:space="preserve">Fruiting</t>
  </si>
  <si>
    <t xml:space="preserve">EC (mS/cm)</t>
  </si>
  <si>
    <t xml:space="preserve">—</t>
  </si>
  <si>
    <t xml:space="preserve">0.6 – 0.8</t>
  </si>
  <si>
    <t xml:space="preserve">1.2 – 1.6</t>
  </si>
  <si>
    <t xml:space="preserve">1.8 – 2.2</t>
  </si>
  <si>
    <t xml:space="preserve">2.2 – 2.8</t>
  </si>
  <si>
    <t xml:space="preserve">pH</t>
  </si>
  <si>
    <t xml:space="preserve">5.8 – 6.2</t>
  </si>
  <si>
    <t xml:space="preserve">  PART A  —  CALCIUM TANK   (weigh grams)</t>
  </si>
  <si>
    <t xml:space="preserve">PART A salt</t>
  </si>
  <si>
    <t xml:space="preserve">Calcium nitrate</t>
  </si>
  <si>
    <t xml:space="preserve">6th (last, slow)</t>
  </si>
  <si>
    <t xml:space="preserve">Potassium nitrate (KNO₃)</t>
  </si>
  <si>
    <t xml:space="preserve">5th</t>
  </si>
  <si>
    <t xml:space="preserve">Iron chelate (Fe-EDTA 13%)</t>
  </si>
  <si>
    <t xml:space="preserve">7th</t>
  </si>
  <si>
    <t xml:space="preserve">  PART B  —  SULFATE / PHOSPHATE / MICRO TANK   (weigh grams; micro in mL)</t>
  </si>
  <si>
    <t xml:space="preserve">PART B salt</t>
  </si>
  <si>
    <t xml:space="preserve">Magnesium sulfate (Epsom)</t>
  </si>
  <si>
    <t xml:space="preserve">1st</t>
  </si>
  <si>
    <t xml:space="preserve">Potassium sulfate (K₂SO₄)</t>
  </si>
  <si>
    <t xml:space="preserve">2nd</t>
  </si>
  <si>
    <t xml:space="preserve">Monopotassium phosphate (MKP)</t>
  </si>
  <si>
    <t xml:space="preserve">3rd</t>
  </si>
  <si>
    <t xml:space="preserve">Micro stock (from 1 L bottle)</t>
  </si>
  <si>
    <t xml:space="preserve">4th</t>
  </si>
  <si>
    <t xml:space="preserve">  RECIPE RATES  (g/L; micro = mL/L)  —  edit to tune strength; tables above read from here</t>
  </si>
  <si>
    <t xml:space="preserve">Salt  (rate)</t>
  </si>
  <si>
    <t xml:space="preserve">g/L</t>
  </si>
  <si>
    <t xml:space="preserve">Micro stock  (mL/L)</t>
  </si>
  <si>
    <t xml:space="preserve">mL/L</t>
  </si>
  <si>
    <t xml:space="preserve">  MICRO STOCK RECIPE  —  make 1 Litre once (lasts ~10,000 L of feed)</t>
  </si>
  <si>
    <t xml:space="preserve">Dissolve all of the below into 1 L of RO/distilled water → store in a dark bottle. Then dose per the 'Micro stock (mL)' row above.</t>
  </si>
  <si>
    <t xml:space="preserve">Boric acid (H₃BO₃)</t>
  </si>
  <si>
    <t xml:space="preserve">Manganese sulfate (MnSO₄·H₂O)</t>
  </si>
  <si>
    <t xml:space="preserve">Zinc sulfate (ZnSO₄·7H₂O)</t>
  </si>
  <si>
    <t xml:space="preserve">Copper sulfate (CuSO₄·5H₂O)</t>
  </si>
  <si>
    <t xml:space="preserve">Sodium molybdate (Na₂MoO₄·2H₂O)</t>
  </si>
  <si>
    <t xml:space="preserve">  RULES TO FOLLOW</t>
  </si>
  <si>
    <t xml:space="preserve">WHICH TO FOLLOW: this chart. It is the merged standard — leafy uses the proven leafy recipe, fruiting the Hoagland-strength tomato mix, seedlings/veg scaled between. Just pick your crop column.</t>
  </si>
  <si>
    <t xml:space="preserve">TWO TANKS rule: if you make concentrates, keep Part A (calcium) and Part B (sulfates/phosphate) in SEPARATE bottles. Mixed concentrated = white sludge (calcium sulfate). Diluted in the full tank they're fine together.</t>
  </si>
  <si>
    <t xml:space="preserve">MIXING ORDER (single tank): fill with water, then add in order — 1 Epsom, 2 K₂SO₄, 3 MKP, 4 micro stock, 5 KNO₃, 6 Calcium nitrate (slowly), 7 Iron. Dissolve each fully before the next.</t>
  </si>
  <si>
    <t xml:space="preserve">Calcium nitrate goes in LAST and slow — never poured next to a sulfate while concentrated.</t>
  </si>
  <si>
    <t xml:space="preserve">Micros: NEVER weigh the powders straight into the tank (too tiny). Make the 1 L stock once, then dose the mL from the chart.</t>
  </si>
  <si>
    <t xml:space="preserve">Use RO / low-PPM water. After mixing, read EC; if low/high tune the blue rate cells. Adjust pH DOWN to 5.8–6.2 LAST.</t>
  </si>
  <si>
    <t xml:space="preserve">Iron assumes 13% Fe-EDTA. Different chelate %? Edit its blue rate. Greenhouse 15.5-0-0 calcium nitrate works in place of pure (≈ same weight, adds a little ammonium-N).</t>
  </si>
  <si>
    <t xml:space="preserve">BLUE cells = you edit (volume + rates). BLACK cells = auto-calculated, don't touch.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</si>
</sst>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&quot; L&quot;"/>
    <numFmt numFmtId="166" formatCode="0.0&quot; g&quot;"/>
    <numFmt numFmtId="167" formatCode="0.0&quot; mL&quot;"/>
    <numFmt numFmtId="168" formatCode="0.000"/>
    <numFmt numFmtId="169" formatCode="0.0&quot; g / 1 L stock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FF59D"/>
        <bgColor rgb="FFFFF8E1"/>
      </patternFill>
    </fill>
    <fill>
      <patternFill patternType="solid">
        <fgColor rgb="FF0D47A1"/>
        <bgColor rgb="FF333399"/>
      </patternFill>
    </fill>
    <fill>
      <patternFill patternType="solid">
        <fgColor rgb="FF2E7D32"/>
        <bgColor rgb="FF1B5E20"/>
      </patternFill>
    </fill>
    <fill>
      <patternFill patternType="solid">
        <fgColor rgb="FFF4F4F4"/>
        <bgColor rgb="FFE8F5E9"/>
      </patternFill>
    </fill>
    <fill>
      <patternFill patternType="solid">
        <fgColor rgb="FFE8F5E9"/>
        <bgColor rgb="FFF4F4F4"/>
      </patternFill>
    </fill>
    <fill>
      <patternFill patternType="solid">
        <fgColor rgb="FF6D4C41"/>
        <bgColor rgb="FF555555"/>
      </patternFill>
    </fill>
    <fill>
      <patternFill patternType="solid">
        <fgColor rgb="FFFFF8E1"/>
        <bgColor rgb="FFF4F4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BBBBB"/>
      <rgbColor rgb="FF808080"/>
      <rgbColor rgb="FF9999FF"/>
      <rgbColor rgb="FF6D4C41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D47A1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4" t="n">
        <v>30</v>
      </c>
      <c r="C3" s="5" t="s">
        <v>3</v>
      </c>
      <c r="D3" s="5"/>
      <c r="E3" s="5"/>
      <c r="F3" s="5"/>
    </row>
    <row r="5" customFormat="false" ht="23.85" hidden="false" customHeight="true" outlineLevel="0" collapsed="false">
      <c r="A5" s="6" t="s">
        <v>4</v>
      </c>
      <c r="B5" s="6"/>
      <c r="C5" s="6"/>
      <c r="D5" s="6"/>
      <c r="E5" s="6"/>
      <c r="F5" s="6"/>
    </row>
    <row r="7" customFormat="false" ht="15" hidden="false" customHeight="false" outlineLevel="0" collapsed="false">
      <c r="A7" s="7" t="s">
        <v>5</v>
      </c>
      <c r="B7" s="7"/>
      <c r="C7" s="7"/>
      <c r="D7" s="7"/>
      <c r="E7" s="7"/>
      <c r="F7" s="7"/>
    </row>
    <row r="8" customFormat="false" ht="30" hidden="false" customHeight="true" outlineLevel="0" collapsed="false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</row>
    <row r="9" customFormat="false" ht="15" hidden="false" customHeight="false" outlineLevel="0" collapsed="false">
      <c r="A9" s="9" t="s">
        <v>12</v>
      </c>
      <c r="B9" s="10" t="s">
        <v>13</v>
      </c>
      <c r="C9" s="11" t="s">
        <v>14</v>
      </c>
      <c r="D9" s="11" t="s">
        <v>15</v>
      </c>
      <c r="E9" s="11" t="s">
        <v>16</v>
      </c>
      <c r="F9" s="11" t="s">
        <v>17</v>
      </c>
    </row>
    <row r="10" customFormat="false" ht="15" hidden="false" customHeight="false" outlineLevel="0" collapsed="false">
      <c r="A10" s="9" t="s">
        <v>18</v>
      </c>
      <c r="B10" s="10" t="s">
        <v>13</v>
      </c>
      <c r="C10" s="11" t="s">
        <v>19</v>
      </c>
      <c r="D10" s="11" t="s">
        <v>19</v>
      </c>
      <c r="E10" s="11" t="s">
        <v>19</v>
      </c>
      <c r="F10" s="11" t="s">
        <v>19</v>
      </c>
    </row>
    <row r="12" customFormat="false" ht="15" hidden="false" customHeight="false" outlineLevel="0" collapsed="false">
      <c r="A12" s="12" t="s">
        <v>20</v>
      </c>
      <c r="B12" s="12"/>
      <c r="C12" s="12"/>
      <c r="D12" s="12"/>
      <c r="E12" s="12"/>
      <c r="F12" s="12"/>
    </row>
    <row r="13" customFormat="false" ht="30" hidden="false" customHeight="true" outlineLevel="0" collapsed="false">
      <c r="A13" s="8" t="s">
        <v>21</v>
      </c>
      <c r="B13" s="8" t="s">
        <v>7</v>
      </c>
      <c r="C13" s="8" t="s">
        <v>8</v>
      </c>
      <c r="D13" s="8" t="s">
        <v>9</v>
      </c>
      <c r="E13" s="8" t="s">
        <v>10</v>
      </c>
      <c r="F13" s="8" t="s">
        <v>11</v>
      </c>
    </row>
    <row r="14" customFormat="false" ht="15" hidden="false" customHeight="false" outlineLevel="0" collapsed="false">
      <c r="A14" s="13" t="s">
        <v>22</v>
      </c>
      <c r="B14" s="14" t="s">
        <v>23</v>
      </c>
      <c r="C14" s="15" t="n">
        <f aca="false">C27*$B$3</f>
        <v>12</v>
      </c>
      <c r="D14" s="15" t="n">
        <f aca="false">D27*$B$3</f>
        <v>24</v>
      </c>
      <c r="E14" s="15" t="n">
        <f aca="false">E27*$B$3</f>
        <v>30</v>
      </c>
      <c r="F14" s="15" t="n">
        <f aca="false">F27*$B$3</f>
        <v>33.6</v>
      </c>
    </row>
    <row r="15" customFormat="false" ht="15" hidden="false" customHeight="false" outlineLevel="0" collapsed="false">
      <c r="A15" s="16" t="s">
        <v>24</v>
      </c>
      <c r="B15" s="17" t="s">
        <v>25</v>
      </c>
      <c r="C15" s="18" t="n">
        <f aca="false">C28*$B$3</f>
        <v>1.8</v>
      </c>
      <c r="D15" s="18" t="n">
        <f aca="false">D28*$B$3</f>
        <v>3.6</v>
      </c>
      <c r="E15" s="18" t="n">
        <f aca="false">E28*$B$3</f>
        <v>6.9</v>
      </c>
      <c r="F15" s="18" t="n">
        <f aca="false">F28*$B$3</f>
        <v>12.3</v>
      </c>
    </row>
    <row r="16" customFormat="false" ht="15" hidden="false" customHeight="false" outlineLevel="0" collapsed="false">
      <c r="A16" s="13" t="s">
        <v>26</v>
      </c>
      <c r="B16" s="14" t="s">
        <v>27</v>
      </c>
      <c r="C16" s="15" t="n">
        <f aca="false">C29*$B$3</f>
        <v>0.36</v>
      </c>
      <c r="D16" s="15" t="n">
        <f aca="false">D29*$B$3</f>
        <v>0.75</v>
      </c>
      <c r="E16" s="15" t="n">
        <f aca="false">E29*$B$3</f>
        <v>0.84</v>
      </c>
      <c r="F16" s="15" t="n">
        <f aca="false">F29*$B$3</f>
        <v>0.9</v>
      </c>
    </row>
    <row r="18" customFormat="false" ht="15" hidden="false" customHeight="false" outlineLevel="0" collapsed="false">
      <c r="A18" s="12" t="s">
        <v>28</v>
      </c>
      <c r="B18" s="12"/>
      <c r="C18" s="12"/>
      <c r="D18" s="12"/>
      <c r="E18" s="12"/>
      <c r="F18" s="12"/>
    </row>
    <row r="19" customFormat="false" ht="30" hidden="false" customHeight="true" outlineLevel="0" collapsed="false">
      <c r="A19" s="8" t="s">
        <v>29</v>
      </c>
      <c r="B19" s="8" t="s">
        <v>7</v>
      </c>
      <c r="C19" s="8" t="s">
        <v>8</v>
      </c>
      <c r="D19" s="8" t="s">
        <v>9</v>
      </c>
      <c r="E19" s="8" t="s">
        <v>10</v>
      </c>
      <c r="F19" s="8" t="s">
        <v>11</v>
      </c>
    </row>
    <row r="20" customFormat="false" ht="15" hidden="false" customHeight="false" outlineLevel="0" collapsed="false">
      <c r="A20" s="13" t="s">
        <v>30</v>
      </c>
      <c r="B20" s="14" t="s">
        <v>31</v>
      </c>
      <c r="C20" s="15" t="n">
        <f aca="false">C30*$B$3</f>
        <v>6.9</v>
      </c>
      <c r="D20" s="15" t="n">
        <f aca="false">D30*$B$3</f>
        <v>13.8</v>
      </c>
      <c r="E20" s="15" t="n">
        <f aca="false">E30*$B$3</f>
        <v>15.3</v>
      </c>
      <c r="F20" s="15" t="n">
        <f aca="false">F30*$B$3</f>
        <v>15.3</v>
      </c>
    </row>
    <row r="21" customFormat="false" ht="15" hidden="false" customHeight="false" outlineLevel="0" collapsed="false">
      <c r="A21" s="16" t="s">
        <v>32</v>
      </c>
      <c r="B21" s="17" t="s">
        <v>33</v>
      </c>
      <c r="C21" s="18" t="n">
        <f aca="false">C31*$B$3</f>
        <v>2.7</v>
      </c>
      <c r="D21" s="18" t="n">
        <f aca="false">D31*$B$3</f>
        <v>5.4</v>
      </c>
      <c r="E21" s="18" t="n">
        <f aca="false">E31*$B$3</f>
        <v>6.6</v>
      </c>
      <c r="F21" s="18" t="n">
        <f aca="false">F31*$B$3</f>
        <v>7.2</v>
      </c>
    </row>
    <row r="22" customFormat="false" ht="26.85" hidden="false" customHeight="false" outlineLevel="0" collapsed="false">
      <c r="A22" s="13" t="s">
        <v>34</v>
      </c>
      <c r="B22" s="14" t="s">
        <v>35</v>
      </c>
      <c r="C22" s="15" t="n">
        <f aca="false">C32*$B$3</f>
        <v>2.7</v>
      </c>
      <c r="D22" s="15" t="n">
        <f aca="false">D32*$B$3</f>
        <v>5.4</v>
      </c>
      <c r="E22" s="15" t="n">
        <f aca="false">E32*$B$3</f>
        <v>6.6</v>
      </c>
      <c r="F22" s="15" t="n">
        <f aca="false">F32*$B$3</f>
        <v>6.6</v>
      </c>
    </row>
    <row r="23" customFormat="false" ht="15" hidden="false" customHeight="false" outlineLevel="0" collapsed="false">
      <c r="A23" s="16" t="s">
        <v>36</v>
      </c>
      <c r="B23" s="17" t="s">
        <v>37</v>
      </c>
      <c r="C23" s="19" t="n">
        <f aca="false">C33*$B$3</f>
        <v>1.5</v>
      </c>
      <c r="D23" s="19" t="n">
        <f aca="false">D33*$B$3</f>
        <v>3</v>
      </c>
      <c r="E23" s="19" t="n">
        <f aca="false">E33*$B$3</f>
        <v>3</v>
      </c>
      <c r="F23" s="19" t="n">
        <f aca="false">F33*$B$3</f>
        <v>3</v>
      </c>
    </row>
    <row r="25" customFormat="false" ht="15" hidden="false" customHeight="false" outlineLevel="0" collapsed="false">
      <c r="A25" s="20" t="s">
        <v>38</v>
      </c>
      <c r="B25" s="20"/>
      <c r="C25" s="20"/>
      <c r="D25" s="20"/>
      <c r="E25" s="20"/>
      <c r="F25" s="20"/>
    </row>
    <row r="26" customFormat="false" ht="30" hidden="false" customHeight="true" outlineLevel="0" collapsed="false">
      <c r="A26" s="8" t="s">
        <v>39</v>
      </c>
      <c r="B26" s="8" t="s">
        <v>7</v>
      </c>
      <c r="C26" s="8" t="s">
        <v>8</v>
      </c>
      <c r="D26" s="8" t="s">
        <v>9</v>
      </c>
      <c r="E26" s="8" t="s">
        <v>10</v>
      </c>
      <c r="F26" s="8" t="s">
        <v>11</v>
      </c>
    </row>
    <row r="27" customFormat="false" ht="15" hidden="false" customHeight="false" outlineLevel="0" collapsed="false">
      <c r="A27" s="21" t="s">
        <v>22</v>
      </c>
      <c r="B27" s="22" t="s">
        <v>40</v>
      </c>
      <c r="C27" s="23" t="n">
        <v>0.4</v>
      </c>
      <c r="D27" s="23" t="n">
        <v>0.8</v>
      </c>
      <c r="E27" s="23" t="n">
        <v>1</v>
      </c>
      <c r="F27" s="23" t="n">
        <v>1.12</v>
      </c>
    </row>
    <row r="28" customFormat="false" ht="15" hidden="false" customHeight="false" outlineLevel="0" collapsed="false">
      <c r="A28" s="21" t="s">
        <v>24</v>
      </c>
      <c r="B28" s="22" t="s">
        <v>40</v>
      </c>
      <c r="C28" s="23" t="n">
        <v>0.06</v>
      </c>
      <c r="D28" s="23" t="n">
        <v>0.12</v>
      </c>
      <c r="E28" s="23" t="n">
        <v>0.23</v>
      </c>
      <c r="F28" s="23" t="n">
        <v>0.41</v>
      </c>
    </row>
    <row r="29" customFormat="false" ht="15" hidden="false" customHeight="false" outlineLevel="0" collapsed="false">
      <c r="A29" s="21" t="s">
        <v>26</v>
      </c>
      <c r="B29" s="22" t="s">
        <v>40</v>
      </c>
      <c r="C29" s="23" t="n">
        <v>0.012</v>
      </c>
      <c r="D29" s="23" t="n">
        <v>0.025</v>
      </c>
      <c r="E29" s="23" t="n">
        <v>0.028</v>
      </c>
      <c r="F29" s="23" t="n">
        <v>0.03</v>
      </c>
    </row>
    <row r="30" customFormat="false" ht="15" hidden="false" customHeight="false" outlineLevel="0" collapsed="false">
      <c r="A30" s="21" t="s">
        <v>30</v>
      </c>
      <c r="B30" s="22" t="s">
        <v>40</v>
      </c>
      <c r="C30" s="23" t="n">
        <v>0.23</v>
      </c>
      <c r="D30" s="23" t="n">
        <v>0.46</v>
      </c>
      <c r="E30" s="23" t="n">
        <v>0.51</v>
      </c>
      <c r="F30" s="23" t="n">
        <v>0.51</v>
      </c>
    </row>
    <row r="31" customFormat="false" ht="15" hidden="false" customHeight="false" outlineLevel="0" collapsed="false">
      <c r="A31" s="21" t="s">
        <v>32</v>
      </c>
      <c r="B31" s="22" t="s">
        <v>40</v>
      </c>
      <c r="C31" s="23" t="n">
        <v>0.09</v>
      </c>
      <c r="D31" s="23" t="n">
        <v>0.18</v>
      </c>
      <c r="E31" s="23" t="n">
        <v>0.22</v>
      </c>
      <c r="F31" s="23" t="n">
        <v>0.24</v>
      </c>
    </row>
    <row r="32" customFormat="false" ht="26.85" hidden="false" customHeight="false" outlineLevel="0" collapsed="false">
      <c r="A32" s="21" t="s">
        <v>34</v>
      </c>
      <c r="B32" s="22" t="s">
        <v>40</v>
      </c>
      <c r="C32" s="23" t="n">
        <v>0.09</v>
      </c>
      <c r="D32" s="23" t="n">
        <v>0.18</v>
      </c>
      <c r="E32" s="23" t="n">
        <v>0.22</v>
      </c>
      <c r="F32" s="23" t="n">
        <v>0.22</v>
      </c>
    </row>
    <row r="33" customFormat="false" ht="15" hidden="false" customHeight="false" outlineLevel="0" collapsed="false">
      <c r="A33" s="21" t="s">
        <v>41</v>
      </c>
      <c r="B33" s="22" t="s">
        <v>42</v>
      </c>
      <c r="C33" s="23" t="n">
        <v>0.05</v>
      </c>
      <c r="D33" s="23" t="n">
        <v>0.1</v>
      </c>
      <c r="E33" s="23" t="n">
        <v>0.1</v>
      </c>
      <c r="F33" s="23" t="n">
        <v>0.1</v>
      </c>
    </row>
    <row r="35" customFormat="false" ht="15" hidden="false" customHeight="false" outlineLevel="0" collapsed="false">
      <c r="A35" s="12" t="s">
        <v>43</v>
      </c>
      <c r="B35" s="12"/>
      <c r="C35" s="12"/>
      <c r="D35" s="12"/>
      <c r="E35" s="12"/>
      <c r="F35" s="12"/>
    </row>
    <row r="36" customFormat="false" ht="23.85" hidden="false" customHeight="true" outlineLevel="0" collapsed="false">
      <c r="A36" s="24" t="s">
        <v>44</v>
      </c>
      <c r="B36" s="24"/>
      <c r="C36" s="24"/>
      <c r="D36" s="24"/>
      <c r="E36" s="24"/>
      <c r="F36" s="24"/>
    </row>
    <row r="37" customFormat="false" ht="15" hidden="false" customHeight="false" outlineLevel="0" collapsed="false">
      <c r="A37" s="25" t="s">
        <v>45</v>
      </c>
      <c r="B37" s="26" t="n">
        <v>23</v>
      </c>
      <c r="C37" s="26"/>
      <c r="D37" s="27"/>
      <c r="E37" s="27"/>
      <c r="F37" s="27"/>
    </row>
    <row r="38" customFormat="false" ht="15" hidden="false" customHeight="false" outlineLevel="0" collapsed="false">
      <c r="A38" s="28" t="s">
        <v>46</v>
      </c>
      <c r="B38" s="29" t="n">
        <v>16</v>
      </c>
      <c r="C38" s="29"/>
      <c r="D38" s="30"/>
      <c r="E38" s="30"/>
      <c r="F38" s="30"/>
    </row>
    <row r="39" customFormat="false" ht="15" hidden="false" customHeight="false" outlineLevel="0" collapsed="false">
      <c r="A39" s="25" t="s">
        <v>47</v>
      </c>
      <c r="B39" s="26" t="n">
        <v>4.5</v>
      </c>
      <c r="C39" s="26"/>
      <c r="D39" s="27"/>
      <c r="E39" s="27"/>
      <c r="F39" s="27"/>
    </row>
    <row r="40" customFormat="false" ht="15" hidden="false" customHeight="false" outlineLevel="0" collapsed="false">
      <c r="A40" s="28" t="s">
        <v>48</v>
      </c>
      <c r="B40" s="29" t="n">
        <v>2</v>
      </c>
      <c r="C40" s="29"/>
      <c r="D40" s="30"/>
      <c r="E40" s="30"/>
      <c r="F40" s="30"/>
    </row>
    <row r="41" customFormat="false" ht="15" hidden="false" customHeight="false" outlineLevel="0" collapsed="false">
      <c r="A41" s="25" t="s">
        <v>49</v>
      </c>
      <c r="B41" s="26" t="n">
        <v>1.3</v>
      </c>
      <c r="C41" s="26"/>
      <c r="D41" s="27"/>
      <c r="E41" s="27"/>
      <c r="F41" s="27"/>
    </row>
    <row r="43" customFormat="false" ht="15" hidden="false" customHeight="false" outlineLevel="0" collapsed="false">
      <c r="A43" s="12" t="s">
        <v>50</v>
      </c>
      <c r="B43" s="12"/>
      <c r="C43" s="12"/>
      <c r="D43" s="12"/>
      <c r="E43" s="12"/>
      <c r="F43" s="12"/>
    </row>
    <row r="44" customFormat="false" ht="43.5" hidden="false" customHeight="true" outlineLevel="0" collapsed="false">
      <c r="A44" s="24" t="s">
        <v>51</v>
      </c>
      <c r="B44" s="24"/>
      <c r="C44" s="24"/>
      <c r="D44" s="24"/>
      <c r="E44" s="24"/>
      <c r="F44" s="24"/>
    </row>
    <row r="45" customFormat="false" ht="43.5" hidden="false" customHeight="true" outlineLevel="0" collapsed="false">
      <c r="A45" s="24" t="s">
        <v>52</v>
      </c>
      <c r="B45" s="24"/>
      <c r="C45" s="24"/>
      <c r="D45" s="24"/>
      <c r="E45" s="24"/>
      <c r="F45" s="24"/>
    </row>
    <row r="46" customFormat="false" ht="43.5" hidden="false" customHeight="true" outlineLevel="0" collapsed="false">
      <c r="A46" s="24" t="s">
        <v>53</v>
      </c>
      <c r="B46" s="24"/>
      <c r="C46" s="24"/>
      <c r="D46" s="24"/>
      <c r="E46" s="24"/>
      <c r="F46" s="24"/>
    </row>
    <row r="47" customFormat="false" ht="30" hidden="false" customHeight="true" outlineLevel="0" collapsed="false">
      <c r="A47" s="24" t="s">
        <v>54</v>
      </c>
      <c r="B47" s="24"/>
      <c r="C47" s="24"/>
      <c r="D47" s="24"/>
      <c r="E47" s="24"/>
      <c r="F47" s="24"/>
    </row>
    <row r="48" customFormat="false" ht="43.5" hidden="false" customHeight="true" outlineLevel="0" collapsed="false">
      <c r="A48" s="24" t="s">
        <v>55</v>
      </c>
      <c r="B48" s="24"/>
      <c r="C48" s="24"/>
      <c r="D48" s="24"/>
      <c r="E48" s="24"/>
      <c r="F48" s="24"/>
    </row>
    <row r="49" customFormat="false" ht="30" hidden="false" customHeight="true" outlineLevel="0" collapsed="false">
      <c r="A49" s="24" t="s">
        <v>56</v>
      </c>
      <c r="B49" s="24"/>
      <c r="C49" s="24"/>
      <c r="D49" s="24"/>
      <c r="E49" s="24"/>
      <c r="F49" s="24"/>
    </row>
    <row r="50" customFormat="false" ht="43.5" hidden="false" customHeight="true" outlineLevel="0" collapsed="false">
      <c r="A50" s="24" t="s">
        <v>57</v>
      </c>
      <c r="B50" s="24"/>
      <c r="C50" s="24"/>
      <c r="D50" s="24"/>
      <c r="E50" s="24"/>
      <c r="F50" s="24"/>
    </row>
    <row r="51" customFormat="false" ht="30" hidden="false" customHeight="true" outlineLevel="0" collapsed="false">
      <c r="A51" s="24" t="s">
        <v>58</v>
      </c>
      <c r="B51" s="24"/>
      <c r="C51" s="24"/>
      <c r="D51" s="24"/>
      <c r="E51" s="24"/>
      <c r="F51" s="24"/>
    </row>
  </sheetData>
  <mergeCells count="24">
    <mergeCell ref="A1:F1"/>
    <mergeCell ref="A2:F2"/>
    <mergeCell ref="C3:F3"/>
    <mergeCell ref="A5:F5"/>
    <mergeCell ref="A7:F7"/>
    <mergeCell ref="A12:F12"/>
    <mergeCell ref="A18:F18"/>
    <mergeCell ref="A25:F25"/>
    <mergeCell ref="A35:F35"/>
    <mergeCell ref="A36:F36"/>
    <mergeCell ref="B37:C37"/>
    <mergeCell ref="B38:C38"/>
    <mergeCell ref="B39:C39"/>
    <mergeCell ref="B40:C40"/>
    <mergeCell ref="B41:C41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2026-06-17T19:30:43Z</dcterms:created>
  <dc:creator>openpyxl</dc:creator>
  <dc:description/>
  <dc:language>en-US</dc:language>
  <cp:lastModifiedBy/>
  <dcterms:modified xsi:type="dcterms:W3CDTF">2026-06-17T19:30:43Z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